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Tier Calc" sheetId="4" state="visible" r:id="rId4"/>
    <sheet xmlns:r="http://schemas.openxmlformats.org/officeDocument/2006/relationships" name="MA Plan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ROI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0&quot; years&quot;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E2761"/>
      <sz val="20"/>
    </font>
    <font>
      <name val="Arial"/>
      <charset val="1"/>
      <family val="0"/>
      <b val="1"/>
      <sz val="14"/>
    </font>
    <font>
      <name val="Cambria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E2761"/>
      <sz val="14"/>
    </font>
    <font>
      <name val="Arial"/>
      <charset val="1"/>
      <family val="0"/>
      <b val="1"/>
      <color rgb="FF0000FF"/>
      <sz val="11"/>
    </font>
    <font>
      <name val="FreeSans"/>
      <family val="2"/>
      <color theme="1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8000"/>
      <sz val="11"/>
    </font>
    <font>
      <name val="Arial"/>
      <charset val="1"/>
      <family val="0"/>
      <i val="1"/>
      <color rgb="FF60606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Cambria"/>
      <charset val="1"/>
      <family val="0"/>
      <b val="1"/>
      <color rgb="FF1E2761"/>
      <sz val="11"/>
    </font>
    <font>
      <name val="Arial"/>
      <charset val="1"/>
      <family val="0"/>
      <b val="1"/>
      <color rgb="FFFFFFFF"/>
      <sz val="12"/>
    </font>
    <font>
      <name val="Cambria"/>
      <charset val="1"/>
      <family val="0"/>
      <b val="1"/>
      <color rgb="FFFFFFFF"/>
      <sz val="11"/>
    </font>
  </fonts>
  <fills count="12">
    <fill>
      <patternFill/>
    </fill>
    <fill>
      <patternFill patternType="gray125"/>
    </fill>
    <fill>
      <patternFill patternType="solid">
        <fgColor rgb="FFFFF9E5"/>
        <bgColor rgb="FFFFFFFF"/>
      </patternFill>
    </fill>
    <fill>
      <patternFill patternType="solid">
        <fgColor rgb="FF1E2761"/>
        <bgColor rgb="FF333333"/>
      </patternFill>
    </fill>
    <fill>
      <patternFill patternType="solid">
        <fgColor rgb="FF5B8DEF"/>
        <bgColor rgb="FFA78BFA"/>
      </patternFill>
    </fill>
    <fill>
      <patternFill patternType="solid">
        <fgColor rgb="FF22C55E"/>
        <bgColor rgb="FF33CCCC"/>
      </patternFill>
    </fill>
    <fill>
      <patternFill patternType="solid">
        <fgColor rgb="FFDEE7FF"/>
        <bgColor rgb="FFCCFFFF"/>
      </patternFill>
    </fill>
    <fill>
      <patternFill patternType="solid">
        <fgColor rgb="FF06B6D4"/>
        <bgColor rgb="FF33CCCC"/>
      </patternFill>
    </fill>
    <fill>
      <patternFill patternType="solid">
        <fgColor rgb="FFF59E0B"/>
        <bgColor rgb="FFFFCC00"/>
      </patternFill>
    </fill>
    <fill>
      <patternFill patternType="solid">
        <fgColor rgb="FFA78BFA"/>
        <bgColor rgb="FFCC99FF"/>
      </patternFill>
    </fill>
    <fill>
      <patternFill patternType="solid">
        <fgColor rgb="FFEF4444"/>
        <bgColor rgb="FF993366"/>
      </patternFill>
    </fill>
    <fill>
      <patternFill patternType="solid">
        <fgColor rgb="FFFFE5CC"/>
        <bgColor rgb="FFFFF9E5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9" fillId="2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center" wrapText="1"/>
    </xf>
    <xf numFmtId="3" fontId="9" fillId="2" borderId="1" applyAlignment="1" pivotButton="0" quotePrefix="0" xfId="0">
      <alignment horizontal="right" vertical="center"/>
    </xf>
    <xf numFmtId="165" fontId="9" fillId="2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bottom"/>
    </xf>
    <xf numFmtId="3" fontId="17" fillId="3" borderId="0" applyAlignment="1" pivotButton="0" quotePrefix="0" xfId="0">
      <alignment horizontal="right" vertical="center"/>
    </xf>
    <xf numFmtId="0" fontId="13" fillId="0" borderId="1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right" vertical="center"/>
    </xf>
    <xf numFmtId="164" fontId="17" fillId="6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right" vertical="center"/>
    </xf>
    <xf numFmtId="164" fontId="17" fillId="11" borderId="1" applyAlignment="1" pivotButton="0" quotePrefix="0" xfId="0">
      <alignment horizontal="right" vertical="center"/>
    </xf>
    <xf numFmtId="164" fontId="12" fillId="0" borderId="0" applyAlignment="1" pivotButton="0" quotePrefix="0" xfId="0">
      <alignment horizontal="general" vertical="bottom"/>
    </xf>
    <xf numFmtId="164" fontId="17" fillId="3" borderId="0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general" vertical="bottom"/>
    </xf>
    <xf numFmtId="164" fontId="17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9" fillId="2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center" wrapText="1"/>
    </xf>
    <xf numFmtId="3" fontId="9" fillId="2" borderId="1" applyAlignment="1" pivotButton="0" quotePrefix="0" xfId="0">
      <alignment horizontal="right" vertical="center"/>
    </xf>
    <xf numFmtId="165" fontId="9" fillId="2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bottom"/>
    </xf>
    <xf numFmtId="3" fontId="17" fillId="3" borderId="0" applyAlignment="1" pivotButton="0" quotePrefix="0" xfId="0">
      <alignment horizontal="right" vertical="center"/>
    </xf>
    <xf numFmtId="0" fontId="13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18" fillId="5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right" vertical="center"/>
    </xf>
    <xf numFmtId="164" fontId="17" fillId="6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right" vertical="center"/>
    </xf>
    <xf numFmtId="164" fontId="17" fillId="11" borderId="1" applyAlignment="1" pivotButton="0" quotePrefix="0" xfId="0">
      <alignment horizontal="right" vertical="center"/>
    </xf>
    <xf numFmtId="164" fontId="12" fillId="0" borderId="0" applyAlignment="1" pivotButton="0" quotePrefix="0" xfId="0">
      <alignment horizontal="general" vertical="bottom"/>
    </xf>
    <xf numFmtId="164" fontId="17" fillId="3" borderId="0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general" vertical="bottom"/>
    </xf>
    <xf numFmtId="164" fontId="17" fillId="3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78BFA"/>
      <rgbColor rgb="FF993366"/>
      <rgbColor rgb="FFFFF9E5"/>
      <rgbColor rgb="FFDEE7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E5CC"/>
      <rgbColor rgb="FF5B8DEF"/>
      <rgbColor rgb="FF33CCCC"/>
      <rgbColor rgb="FF99CC00"/>
      <rgbColor rgb="FFFFCC00"/>
      <rgbColor rgb="FFF59E0B"/>
      <rgbColor rgb="FFEF4444"/>
      <rgbColor rgb="FF606060"/>
      <rgbColor rgb="FF969696"/>
      <rgbColor rgb="FF1E2761"/>
      <rgbColor rgb="FF22C55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80" customWidth="1" style="44" min="2" max="2"/>
  </cols>
  <sheetData>
    <row r="1" ht="30" customHeight="1" s="45">
      <c r="A1" s="46" t="inlineStr">
        <is>
          <t>💰 Bosch CCTV Dashboard — Cost Calculator</t>
        </is>
      </c>
    </row>
    <row r="3" ht="17.15" customHeight="1" s="45">
      <c r="A3" s="47" t="inlineStr">
        <is>
          <t>วิธีใช้:</t>
        </is>
      </c>
    </row>
    <row r="4" ht="15" customHeight="1" s="45">
      <c r="A4" s="48" t="inlineStr">
        <is>
          <t>1.</t>
        </is>
      </c>
      <c r="B4" s="49" t="inlineStr">
        <is>
          <t>ไปที่ sheet 'Inputs' — แก้ตัวเลขในเซลล์สีเหลือง (input cells)</t>
        </is>
      </c>
    </row>
    <row r="5" ht="15" customHeight="1" s="45">
      <c r="A5" s="48" t="inlineStr">
        <is>
          <t>2.</t>
        </is>
      </c>
      <c r="B5" s="49" t="inlineStr">
        <is>
          <t>ไปที่ sheet 'Rate Card' — ปรับ man-hour rate ตามนโยบายบริษัท</t>
        </is>
      </c>
    </row>
    <row r="6" ht="15" customHeight="1" s="45">
      <c r="A6" s="48" t="inlineStr">
        <is>
          <t>3.</t>
        </is>
      </c>
      <c r="B6" s="49" t="inlineStr">
        <is>
          <t>Sheet 'Tier Calc' — แสดงต้นทุนแยกตาม tier (G1-G5) คำนวณอัตโนมัติ</t>
        </is>
      </c>
    </row>
    <row r="7" ht="15" customHeight="1" s="45">
      <c r="A7" s="48" t="inlineStr">
        <is>
          <t>4.</t>
        </is>
      </c>
      <c r="B7" s="49" t="inlineStr">
        <is>
          <t>Sheet 'MA Plans' — เปรียบเทียบ Bronze / Silver / Gold ทุก tier</t>
        </is>
      </c>
    </row>
    <row r="8" ht="15" customHeight="1" s="45">
      <c r="A8" s="48" t="inlineStr">
        <is>
          <t>5.</t>
        </is>
      </c>
      <c r="B8" s="49" t="inlineStr">
        <is>
          <t>Sheet 'Summary' — สรุป Year 1, Year 2-5, 5-year TCO และราคาเสนอลูกค้า</t>
        </is>
      </c>
    </row>
    <row r="9" ht="15" customHeight="1" s="45">
      <c r="A9" s="48" t="inlineStr">
        <is>
          <t>6.</t>
        </is>
      </c>
      <c r="B9" s="49" t="inlineStr">
        <is>
          <t>Sheet 'ROI' — เครื่องคำนวณ ROI สำหรับนำเสนอลูกค้า</t>
        </is>
      </c>
    </row>
    <row r="10" ht="15" customHeight="1" s="45">
      <c r="A10" s="48" t="n"/>
      <c r="B10" s="49" t="n"/>
    </row>
    <row r="11" ht="15" customHeight="1" s="45">
      <c r="A11" s="48" t="inlineStr">
        <is>
          <t>📌</t>
        </is>
      </c>
      <c r="B11" s="49" t="inlineStr">
        <is>
          <t>เซลล์สีเหลืองข้อความ้น้ำเงิน = Input (แก้ได้)</t>
        </is>
      </c>
    </row>
    <row r="12" ht="15" customHeight="1" s="45">
      <c r="A12" s="48" t="inlineStr">
        <is>
          <t>📌</t>
        </is>
      </c>
      <c r="B12" s="49" t="inlineStr">
        <is>
          <t>เซลล์ข้อความสีดำ = สูตรคำนวณ (อย่าแก้)</t>
        </is>
      </c>
    </row>
    <row r="13" ht="15" customHeight="1" s="45">
      <c r="A13" s="48" t="inlineStr">
        <is>
          <t>📌</t>
        </is>
      </c>
      <c r="B13" s="49" t="inlineStr">
        <is>
          <t>เซลล์ข้อความสีเขียว = Reference จาก sheet อื่น</t>
        </is>
      </c>
    </row>
    <row r="16" ht="17.35" customHeight="1" s="45">
      <c r="A16" s="50" t="inlineStr">
        <is>
          <t>Color Coding (Industry Standard)</t>
        </is>
      </c>
    </row>
    <row r="18" ht="15" customHeight="1" s="45">
      <c r="A18" s="51" t="inlineStr">
        <is>
          <t>🟦 Input</t>
        </is>
      </c>
      <c r="B18" s="52" t="inlineStr">
        <is>
          <t>ตัวเลขที่ผู้ใช้แก้ได้ (สีน้ำเงิน, พื้นเหลือง)</t>
        </is>
      </c>
    </row>
    <row r="19" ht="15" customHeight="1" s="45">
      <c r="A19" s="53" t="inlineStr">
        <is>
          <t>⬛ Formula</t>
        </is>
      </c>
      <c r="B19" s="52" t="inlineStr">
        <is>
          <t>สูตรคำนวณ (สีดำ) — อย่าแก้</t>
        </is>
      </c>
    </row>
    <row r="20" ht="15" customHeight="1" s="45">
      <c r="A20" s="54" t="inlineStr">
        <is>
          <t>🟩 Link</t>
        </is>
      </c>
      <c r="B20" s="52" t="inlineStr">
        <is>
          <t>อ้างอิงข้าม sheet (สีเขียว)</t>
        </is>
      </c>
    </row>
    <row r="22" ht="15" customHeight="1" s="45">
      <c r="A22" s="55" t="inlineStr">
        <is>
          <t>Document version 1.0 — May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20" customWidth="1" style="44" min="2" max="2"/>
    <col width="22" customWidth="1" style="44" min="3" max="3"/>
    <col width="30" customWidth="1" style="44" min="4" max="4"/>
  </cols>
  <sheetData>
    <row r="1" ht="30" customHeight="1" s="45">
      <c r="A1" s="56" t="inlineStr">
        <is>
          <t>💼 Man-Hour Rate Card</t>
        </is>
      </c>
    </row>
    <row r="3" ht="15" customHeight="1" s="45">
      <c r="A3" s="57" t="inlineStr">
        <is>
          <t>Role</t>
        </is>
      </c>
      <c r="B3" s="57" t="inlineStr">
        <is>
          <t>Rate (THB/hour)</t>
        </is>
      </c>
      <c r="C3" s="57" t="inlineStr">
        <is>
          <t>Rate (THB/day-8hr)</t>
        </is>
      </c>
      <c r="D3" s="57" t="inlineStr">
        <is>
          <t>Note</t>
        </is>
      </c>
    </row>
    <row r="4" ht="15" customHeight="1" s="45">
      <c r="A4" s="58" t="inlineStr">
        <is>
          <t>Junior Developer</t>
        </is>
      </c>
      <c r="B4" s="59" t="n">
        <v>600</v>
      </c>
      <c r="C4" s="60">
        <f>B4*8</f>
        <v/>
      </c>
      <c r="D4" s="61" t="inlineStr">
        <is>
          <t>&lt; 2 ปีประสบการณ์</t>
        </is>
      </c>
    </row>
    <row r="5" ht="15" customHeight="1" s="45">
      <c r="A5" s="58" t="inlineStr">
        <is>
          <t>Mid-level Developer</t>
        </is>
      </c>
      <c r="B5" s="59" t="n">
        <v>1000</v>
      </c>
      <c r="C5" s="60">
        <f>B5*8</f>
        <v/>
      </c>
      <c r="D5" s="61" t="inlineStr">
        <is>
          <t>2-5 ปี</t>
        </is>
      </c>
    </row>
    <row r="6" ht="15" customHeight="1" s="45">
      <c r="A6" s="58" t="inlineStr">
        <is>
          <t>Senior Developer</t>
        </is>
      </c>
      <c r="B6" s="59" t="n">
        <v>1500</v>
      </c>
      <c r="C6" s="60">
        <f>B6*8</f>
        <v/>
      </c>
      <c r="D6" s="61" t="inlineStr">
        <is>
          <t>5-10 ปี</t>
        </is>
      </c>
    </row>
    <row r="7" ht="15" customHeight="1" s="45">
      <c r="A7" s="58" t="inlineStr">
        <is>
          <t>Tech Lead/Architect</t>
        </is>
      </c>
      <c r="B7" s="59" t="n">
        <v>2500</v>
      </c>
      <c r="C7" s="60">
        <f>B7*8</f>
        <v/>
      </c>
      <c r="D7" s="61" t="inlineStr">
        <is>
          <t>&gt; 10 ปี + design experience</t>
        </is>
      </c>
    </row>
    <row r="8" ht="15" customHeight="1" s="45">
      <c r="A8" s="58" t="inlineStr">
        <is>
          <t>Solution Architect</t>
        </is>
      </c>
      <c r="B8" s="59" t="n">
        <v>3000</v>
      </c>
      <c r="C8" s="60">
        <f>B8*8</f>
        <v/>
      </c>
      <c r="D8" s="61" t="inlineStr">
        <is>
          <t>Enterprise level</t>
        </is>
      </c>
    </row>
    <row r="9" ht="15" customHeight="1" s="45">
      <c r="A9" s="58" t="inlineStr">
        <is>
          <t>DevOps Engineer</t>
        </is>
      </c>
      <c r="B9" s="59" t="n">
        <v>1800</v>
      </c>
      <c r="C9" s="60">
        <f>B9*8</f>
        <v/>
      </c>
      <c r="D9" s="61" t="inlineStr">
        <is>
          <t>Docker/K8s expertise</t>
        </is>
      </c>
    </row>
    <row r="10" ht="15" customHeight="1" s="45">
      <c r="A10" s="58" t="inlineStr">
        <is>
          <t>DevOps Lead</t>
        </is>
      </c>
      <c r="B10" s="59" t="n">
        <v>2500</v>
      </c>
      <c r="C10" s="60">
        <f>B10*8</f>
        <v/>
      </c>
      <c r="D10" s="61" t="inlineStr">
        <is>
          <t>K8s + multi-cluster</t>
        </is>
      </c>
    </row>
    <row r="11" ht="15" customHeight="1" s="45">
      <c r="A11" s="58" t="inlineStr">
        <is>
          <t>Database Admin</t>
        </is>
      </c>
      <c r="B11" s="59" t="n">
        <v>2000</v>
      </c>
      <c r="C11" s="60">
        <f>B11*8</f>
        <v/>
      </c>
      <c r="D11" s="61" t="inlineStr">
        <is>
          <t>PostgreSQL/scaling</t>
        </is>
      </c>
    </row>
    <row r="12" ht="15" customHeight="1" s="45">
      <c r="A12" s="58" t="inlineStr">
        <is>
          <t>DBA Senior</t>
        </is>
      </c>
      <c r="B12" s="59" t="n">
        <v>2500</v>
      </c>
      <c r="C12" s="60">
        <f>B12*8</f>
        <v/>
      </c>
      <c r="D12" s="61" t="inlineStr">
        <is>
          <t>TimescaleDB/Citus</t>
        </is>
      </c>
    </row>
    <row r="13" ht="15" customHeight="1" s="45">
      <c r="A13" s="58" t="inlineStr">
        <is>
          <t>System Engineer</t>
        </is>
      </c>
      <c r="B13" s="59" t="n">
        <v>1200</v>
      </c>
      <c r="C13" s="60">
        <f>B13*8</f>
        <v/>
      </c>
      <c r="D13" s="61" t="inlineStr">
        <is>
          <t>Network/server admin</t>
        </is>
      </c>
    </row>
    <row r="14" ht="15" customHeight="1" s="45">
      <c r="A14" s="58" t="inlineStr">
        <is>
          <t>Security Engineer</t>
        </is>
      </c>
      <c r="B14" s="59" t="n">
        <v>2200</v>
      </c>
      <c r="C14" s="60">
        <f>B14*8</f>
        <v/>
      </c>
      <c r="D14" s="61" t="inlineStr">
        <is>
          <t>Pen test + hardening</t>
        </is>
      </c>
    </row>
    <row r="15" ht="15" customHeight="1" s="45">
      <c r="A15" s="58" t="inlineStr">
        <is>
          <t>Network Engineer</t>
        </is>
      </c>
      <c r="B15" s="59" t="n">
        <v>1500</v>
      </c>
      <c r="C15" s="60">
        <f>B15*8</f>
        <v/>
      </c>
      <c r="D15" s="61" t="inlineStr">
        <is>
          <t>Datacenter networking</t>
        </is>
      </c>
    </row>
    <row r="16" ht="15" customHeight="1" s="45">
      <c r="A16" s="58" t="inlineStr">
        <is>
          <t>Project Manager</t>
        </is>
      </c>
      <c r="B16" s="59" t="n">
        <v>1500</v>
      </c>
      <c r="C16" s="60">
        <f>B16*8</f>
        <v/>
      </c>
      <c r="D16" s="61" t="inlineStr">
        <is>
          <t>Standard PM</t>
        </is>
      </c>
    </row>
    <row r="17" ht="15" customHeight="1" s="45">
      <c r="A17" s="58" t="inlineStr">
        <is>
          <t>Project Manager (Sr)</t>
        </is>
      </c>
      <c r="B17" s="59" t="n">
        <v>2000</v>
      </c>
      <c r="C17" s="60">
        <f>B17*8</f>
        <v/>
      </c>
      <c r="D17" s="61" t="inlineStr">
        <is>
          <t>PMP + enterprise</t>
        </is>
      </c>
    </row>
    <row r="18" ht="15" customHeight="1" s="45">
      <c r="A18" s="58" t="inlineStr">
        <is>
          <t>Technician (on-site)</t>
        </is>
      </c>
      <c r="B18" s="59" t="n">
        <v>800</v>
      </c>
      <c r="C18" s="60">
        <f>B18*8</f>
        <v/>
      </c>
      <c r="D18" s="61" t="inlineStr">
        <is>
          <t>Camera install</t>
        </is>
      </c>
    </row>
    <row r="19" ht="15" customHeight="1" s="45">
      <c r="A19" s="58" t="inlineStr">
        <is>
          <t>L1 Support (Helpdesk)</t>
        </is>
      </c>
      <c r="B19" s="59" t="n">
        <v>400</v>
      </c>
      <c r="C19" s="60">
        <f>B19*8</f>
        <v/>
      </c>
      <c r="D19" s="61" t="inlineStr">
        <is>
          <t>24/7 hotline</t>
        </is>
      </c>
    </row>
    <row r="20" ht="15" customHeight="1" s="45">
      <c r="A20" s="58" t="inlineStr">
        <is>
          <t>L2 Support (NOC)</t>
        </is>
      </c>
      <c r="B20" s="59" t="n">
        <v>800</v>
      </c>
      <c r="C20" s="60">
        <f>B20*8</f>
        <v/>
      </c>
      <c r="D20" s="61" t="inlineStr">
        <is>
          <t>Network ops</t>
        </is>
      </c>
    </row>
    <row r="21" ht="15" customHeight="1" s="45">
      <c r="A21" s="58" t="inlineStr">
        <is>
          <t>L3 Support (Engineer)</t>
        </is>
      </c>
      <c r="B21" s="59" t="n">
        <v>1500</v>
      </c>
      <c r="C21" s="60">
        <f>B21*8</f>
        <v/>
      </c>
      <c r="D21" s="61" t="inlineStr">
        <is>
          <t>Deep technical</t>
        </is>
      </c>
    </row>
    <row r="22" ht="15" customHeight="1" s="45">
      <c r="A22" s="58" t="inlineStr">
        <is>
          <t>QA / Test Engineer</t>
        </is>
      </c>
      <c r="B22" s="59" t="n">
        <v>1000</v>
      </c>
      <c r="C22" s="60">
        <f>B22*8</f>
        <v/>
      </c>
      <c r="D22" s="61" t="inlineStr">
        <is>
          <t>Manual + automation</t>
        </is>
      </c>
    </row>
    <row r="23" ht="15" customHeight="1" s="45">
      <c r="A23" s="58" t="inlineStr">
        <is>
          <t>QA Lead</t>
        </is>
      </c>
      <c r="B23" s="59" t="n">
        <v>1500</v>
      </c>
      <c r="C23" s="60">
        <f>B23*8</f>
        <v/>
      </c>
      <c r="D23" s="61" t="inlineStr">
        <is>
          <t>Test strategy</t>
        </is>
      </c>
    </row>
    <row r="26" ht="11.9" customHeight="1" s="45">
      <c r="A26" s="55" t="inlineStr">
        <is>
          <t>📝 Note: Rate รวม overhead 30% (employer cost vs. salary). Outsource สูงกว่า 1.5-2x</t>
        </is>
      </c>
    </row>
  </sheetData>
  <mergeCells count="2">
    <mergeCell ref="A1:D1"/>
    <mergeCell ref="A26:D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44" min="1" max="1"/>
    <col width="17" customWidth="1" style="44" min="2" max="6"/>
  </cols>
  <sheetData>
    <row r="1" ht="30" customHeight="1" s="45">
      <c r="A1" s="56" t="inlineStr">
        <is>
          <t>🎛 Project Inputs (แก้ได้ตามต้องการ)</t>
        </is>
      </c>
    </row>
    <row r="3" ht="15" customHeight="1" s="45">
      <c r="A3" s="62" t="inlineStr">
        <is>
          <t>1. Tier Camera Capacity</t>
        </is>
      </c>
    </row>
    <row r="4" ht="26.85" customHeight="1" s="45">
      <c r="A4" s="57" t="inlineStr">
        <is>
          <t>Tier</t>
        </is>
      </c>
      <c r="B4" s="57" t="inlineStr">
        <is>
          <t>Cameras</t>
        </is>
      </c>
      <c r="C4" s="57" t="inlineStr">
        <is>
          <t>Hardware (THB)</t>
        </is>
      </c>
      <c r="D4" s="57" t="inlineStr">
        <is>
          <t>Hidden Cost (THB/yr)</t>
        </is>
      </c>
      <c r="E4" s="57" t="inlineStr">
        <is>
          <t>Hardware refresh %</t>
        </is>
      </c>
      <c r="F4" s="57" t="inlineStr">
        <is>
          <t>Note</t>
        </is>
      </c>
    </row>
    <row r="5" ht="15" customHeight="1" s="45">
      <c r="A5" s="63" t="inlineStr">
        <is>
          <t>G1</t>
        </is>
      </c>
      <c r="B5" s="64" t="n">
        <v>200</v>
      </c>
      <c r="C5" s="59" t="n">
        <v>80000</v>
      </c>
      <c r="D5" s="59" t="n">
        <v>63200</v>
      </c>
      <c r="E5" s="65" t="n">
        <v>0.2</v>
      </c>
      <c r="F5" s="61" t="inlineStr">
        <is>
          <t>Single server</t>
        </is>
      </c>
    </row>
    <row r="6" ht="15" customHeight="1" s="45">
      <c r="A6" s="63" t="inlineStr">
        <is>
          <t>G2</t>
        </is>
      </c>
      <c r="B6" s="64" t="n">
        <v>500</v>
      </c>
      <c r="C6" s="59" t="n">
        <v>240000</v>
      </c>
      <c r="D6" s="59" t="n">
        <v>179200</v>
      </c>
      <c r="E6" s="65" t="n">
        <v>0.2</v>
      </c>
      <c r="F6" s="61" t="inlineStr">
        <is>
          <t>Split app + DB</t>
        </is>
      </c>
    </row>
    <row r="7" ht="15" customHeight="1" s="45">
      <c r="A7" s="63" t="inlineStr">
        <is>
          <t>G3</t>
        </is>
      </c>
      <c r="B7" s="64" t="n">
        <v>1000</v>
      </c>
      <c r="C7" s="59" t="n">
        <v>1200000</v>
      </c>
      <c r="D7" s="59" t="n">
        <v>1080000</v>
      </c>
      <c r="E7" s="65" t="n">
        <v>0.2</v>
      </c>
      <c r="F7" s="61" t="inlineStr">
        <is>
          <t>Distributed + LB</t>
        </is>
      </c>
    </row>
    <row r="8" ht="15" customHeight="1" s="45">
      <c r="A8" s="63" t="inlineStr">
        <is>
          <t>G4</t>
        </is>
      </c>
      <c r="B8" s="64" t="n">
        <v>2000</v>
      </c>
      <c r="C8" s="59" t="n">
        <v>3500000</v>
      </c>
      <c r="D8" s="59" t="n">
        <v>4020000</v>
      </c>
      <c r="E8" s="65" t="n">
        <v>0.2</v>
      </c>
      <c r="F8" s="61" t="inlineStr">
        <is>
          <t>Kubernetes + HA</t>
        </is>
      </c>
    </row>
    <row r="9" ht="15" customHeight="1" s="45">
      <c r="A9" s="63" t="inlineStr">
        <is>
          <t>G5</t>
        </is>
      </c>
      <c r="B9" s="64" t="n">
        <v>3000</v>
      </c>
      <c r="C9" s="59" t="n">
        <v>12000000</v>
      </c>
      <c r="D9" s="59" t="n">
        <v>18600000</v>
      </c>
      <c r="E9" s="65" t="n">
        <v>0.2</v>
      </c>
      <c r="F9" s="61" t="inlineStr">
        <is>
          <t>Multi-zone + Edge</t>
        </is>
      </c>
    </row>
    <row r="12" ht="15" customHeight="1" s="45">
      <c r="A12" s="62" t="inlineStr">
        <is>
          <t>2. Implementation Hours by Activity (per tier)</t>
        </is>
      </c>
    </row>
    <row r="13" ht="15" customHeight="1" s="45">
      <c r="A13" s="57" t="inlineStr">
        <is>
          <t>Activity</t>
        </is>
      </c>
      <c r="B13" s="57" t="inlineStr">
        <is>
          <t>G1 (200)</t>
        </is>
      </c>
      <c r="C13" s="57" t="inlineStr">
        <is>
          <t>G2 (500)</t>
        </is>
      </c>
      <c r="D13" s="57" t="inlineStr">
        <is>
          <t>G3 (1000)</t>
        </is>
      </c>
      <c r="E13" s="57" t="inlineStr">
        <is>
          <t>G4 (2000)</t>
        </is>
      </c>
      <c r="F13" s="57" t="inlineStr">
        <is>
          <t>G5 (3000)</t>
        </is>
      </c>
    </row>
    <row r="14" ht="15" customHeight="1" s="45">
      <c r="A14" s="66" t="inlineStr">
        <is>
          <t>Pre-sales &amp; Requirement</t>
        </is>
      </c>
      <c r="B14" s="64" t="n">
        <v>16</v>
      </c>
      <c r="C14" s="64" t="n">
        <v>24</v>
      </c>
      <c r="D14" s="64" t="n">
        <v>40</v>
      </c>
      <c r="E14" s="64" t="n">
        <v>80</v>
      </c>
      <c r="F14" s="64" t="n">
        <v>160</v>
      </c>
    </row>
    <row r="15" ht="15" customHeight="1" s="45">
      <c r="A15" s="66" t="inlineStr">
        <is>
          <t>Hardware Setup</t>
        </is>
      </c>
      <c r="B15" s="64" t="n">
        <v>24</v>
      </c>
      <c r="C15" s="64" t="n">
        <v>48</v>
      </c>
      <c r="D15" s="64" t="n">
        <v>120</v>
      </c>
      <c r="E15" s="64" t="n">
        <v>320</v>
      </c>
      <c r="F15" s="64" t="n">
        <v>800</v>
      </c>
    </row>
    <row r="16" ht="15" customHeight="1" s="45">
      <c r="A16" s="66" t="inlineStr">
        <is>
          <t>Software Deployment</t>
        </is>
      </c>
      <c r="B16" s="64" t="n">
        <v>16</v>
      </c>
      <c r="C16" s="64" t="n">
        <v>32</v>
      </c>
      <c r="D16" s="64" t="n">
        <v>80</v>
      </c>
      <c r="E16" s="64" t="n">
        <v>240</v>
      </c>
      <c r="F16" s="64" t="n">
        <v>600</v>
      </c>
    </row>
    <row r="17" ht="15" customHeight="1" s="45">
      <c r="A17" s="66" t="inlineStr">
        <is>
          <t>Camera Onboarding</t>
        </is>
      </c>
      <c r="B17" s="64" t="n">
        <v>16</v>
      </c>
      <c r="C17" s="64" t="n">
        <v>40</v>
      </c>
      <c r="D17" s="64" t="n">
        <v>80</v>
      </c>
      <c r="E17" s="64" t="n">
        <v>160</v>
      </c>
      <c r="F17" s="64" t="n">
        <v>240</v>
      </c>
    </row>
    <row r="18" ht="15" customHeight="1" s="45">
      <c r="A18" s="66" t="inlineStr">
        <is>
          <t>Customization</t>
        </is>
      </c>
      <c r="B18" s="64" t="n">
        <v>16</v>
      </c>
      <c r="C18" s="64" t="n">
        <v>24</v>
      </c>
      <c r="D18" s="64" t="n">
        <v>40</v>
      </c>
      <c r="E18" s="64" t="n">
        <v>80</v>
      </c>
      <c r="F18" s="64" t="n">
        <v>120</v>
      </c>
    </row>
    <row r="19" ht="15" customHeight="1" s="45">
      <c r="A19" s="66" t="inlineStr">
        <is>
          <t>Testing &amp; UAT</t>
        </is>
      </c>
      <c r="B19" s="64" t="n">
        <v>24</v>
      </c>
      <c r="C19" s="64" t="n">
        <v>40</v>
      </c>
      <c r="D19" s="64" t="n">
        <v>80</v>
      </c>
      <c r="E19" s="64" t="n">
        <v>200</v>
      </c>
      <c r="F19" s="64" t="n">
        <v>400</v>
      </c>
    </row>
    <row r="20" ht="15" customHeight="1" s="45">
      <c r="A20" s="66" t="inlineStr">
        <is>
          <t>Training</t>
        </is>
      </c>
      <c r="B20" s="64" t="n">
        <v>8</v>
      </c>
      <c r="C20" s="64" t="n">
        <v>16</v>
      </c>
      <c r="D20" s="64" t="n">
        <v>32</v>
      </c>
      <c r="E20" s="64" t="n">
        <v>64</v>
      </c>
      <c r="F20" s="64" t="n">
        <v>120</v>
      </c>
    </row>
    <row r="21" ht="15" customHeight="1" s="45">
      <c r="A21" s="66" t="inlineStr">
        <is>
          <t>Documentation</t>
        </is>
      </c>
      <c r="B21" s="64" t="n">
        <v>8</v>
      </c>
      <c r="C21" s="64" t="n">
        <v>16</v>
      </c>
      <c r="D21" s="64" t="n">
        <v>24</v>
      </c>
      <c r="E21" s="64" t="n">
        <v>48</v>
      </c>
      <c r="F21" s="64" t="n">
        <v>80</v>
      </c>
    </row>
    <row r="22" ht="15" customHeight="1" s="45">
      <c r="A22" s="66" t="inlineStr">
        <is>
          <t>Project Management</t>
        </is>
      </c>
      <c r="B22" s="64" t="n">
        <v>24</v>
      </c>
      <c r="C22" s="64" t="n">
        <v>40</v>
      </c>
      <c r="D22" s="64" t="n">
        <v>80</v>
      </c>
      <c r="E22" s="64" t="n">
        <v>200</v>
      </c>
      <c r="F22" s="64" t="n">
        <v>400</v>
      </c>
    </row>
    <row r="23" ht="15" customHeight="1" s="45">
      <c r="A23" s="66" t="inlineStr">
        <is>
          <t>Travel + on-site</t>
        </is>
      </c>
      <c r="B23" s="64" t="n">
        <v>8</v>
      </c>
      <c r="C23" s="64" t="n">
        <v>16</v>
      </c>
      <c r="D23" s="64" t="n">
        <v>40</v>
      </c>
      <c r="E23" s="64" t="n">
        <v>80</v>
      </c>
      <c r="F23" s="64" t="n">
        <v>160</v>
      </c>
    </row>
    <row r="24" ht="15" customHeight="1" s="45">
      <c r="A24" s="67" t="inlineStr">
        <is>
          <t>TOTAL HOURS</t>
        </is>
      </c>
      <c r="B24" s="68">
        <f>SUM(B14:B23)</f>
        <v/>
      </c>
      <c r="C24" s="68">
        <f>SUM(C14:C23)</f>
        <v/>
      </c>
      <c r="D24" s="68">
        <f>SUM(D14:D23)</f>
        <v/>
      </c>
      <c r="E24" s="68">
        <f>SUM(E14:E23)</f>
        <v/>
      </c>
      <c r="F24" s="68">
        <f>SUM(F14:F23)</f>
        <v/>
      </c>
    </row>
    <row r="26" ht="15" customHeight="1" s="45">
      <c r="A26" s="62" t="inlineStr">
        <is>
          <t>3. Average Blended Rate per Tier (THB/hour)</t>
        </is>
      </c>
    </row>
    <row r="27" ht="15" customHeight="1" s="45">
      <c r="A27" s="57" t="inlineStr">
        <is>
          <t>Tier</t>
        </is>
      </c>
      <c r="B27" s="57" t="inlineStr">
        <is>
          <t>Blended Rate</t>
        </is>
      </c>
      <c r="C27" s="57" t="inlineStr">
        <is>
          <t>Note</t>
        </is>
      </c>
    </row>
    <row r="28" ht="15" customHeight="1" s="45">
      <c r="A28" s="63" t="inlineStr">
        <is>
          <t>G1</t>
        </is>
      </c>
      <c r="B28" s="59" t="n">
        <v>1385</v>
      </c>
      <c r="C28" s="69" t="inlineStr">
        <is>
          <t>More junior, single team</t>
        </is>
      </c>
    </row>
    <row r="29" ht="15" customHeight="1" s="45">
      <c r="A29" s="63" t="inlineStr">
        <is>
          <t>G2</t>
        </is>
      </c>
      <c r="B29" s="59" t="n">
        <v>1545</v>
      </c>
      <c r="C29" s="69" t="inlineStr">
        <is>
          <t>Mix senior + DBA</t>
        </is>
      </c>
    </row>
    <row r="30" ht="15" customHeight="1" s="45">
      <c r="A30" s="63" t="inlineStr">
        <is>
          <t>G3</t>
        </is>
      </c>
      <c r="B30" s="59" t="n">
        <v>1700</v>
      </c>
      <c r="C30" s="69" t="inlineStr">
        <is>
          <t>Architect + specialists</t>
        </is>
      </c>
    </row>
    <row r="31" ht="15" customHeight="1" s="45">
      <c r="A31" s="63" t="inlineStr">
        <is>
          <t>G4</t>
        </is>
      </c>
      <c r="B31" s="59" t="n">
        <v>1840</v>
      </c>
      <c r="C31" s="69" t="inlineStr">
        <is>
          <t>K8s expertise</t>
        </is>
      </c>
    </row>
    <row r="32" ht="15" customHeight="1" s="45">
      <c r="A32" s="63" t="inlineStr">
        <is>
          <t>G5</t>
        </is>
      </c>
      <c r="B32" s="59" t="n">
        <v>2140</v>
      </c>
      <c r="C32" s="69" t="inlineStr">
        <is>
          <t>Multi-architect, leads</t>
        </is>
      </c>
    </row>
    <row r="35" ht="15" customHeight="1" s="45">
      <c r="A35" s="62" t="inlineStr">
        <is>
          <t>4. Pricing Settings</t>
        </is>
      </c>
    </row>
    <row r="36" ht="15" customHeight="1" s="45">
      <c r="A36" s="66" t="inlineStr">
        <is>
          <t>Gross Margin Target</t>
        </is>
      </c>
      <c r="B36" s="65" t="n">
        <v>0.33</v>
      </c>
      <c r="C36" s="69" t="inlineStr">
        <is>
          <t>ส่วนต่างกำไรที่ต้องการ</t>
        </is>
      </c>
      <c r="D36" s="70" t="n"/>
      <c r="E36" s="70" t="n"/>
      <c r="F36" s="71" t="n"/>
    </row>
    <row r="37" ht="15" customHeight="1" s="45">
      <c r="A37" s="66" t="inlineStr">
        <is>
          <t>Inflation Rate (Year 2-5)</t>
        </is>
      </c>
      <c r="B37" s="65" t="n">
        <v>0.03</v>
      </c>
      <c r="C37" s="69" t="inlineStr">
        <is>
          <t>ปรับ MA + Hidden cost รายปี</t>
        </is>
      </c>
      <c r="D37" s="70" t="n"/>
      <c r="E37" s="70" t="n"/>
      <c r="F37" s="71" t="n"/>
    </row>
    <row r="38" ht="15" customHeight="1" s="45">
      <c r="A38" s="66" t="inlineStr">
        <is>
          <t>Discount Multi-year MA</t>
        </is>
      </c>
      <c r="B38" s="65" t="n">
        <v>0.12</v>
      </c>
      <c r="C38" s="69" t="inlineStr">
        <is>
          <t>Discount ถ้าทำสัญญาหลายปี</t>
        </is>
      </c>
      <c r="D38" s="70" t="n"/>
      <c r="E38" s="70" t="n"/>
      <c r="F38" s="71" t="n"/>
    </row>
    <row r="39" ht="15" customHeight="1" s="45">
      <c r="A39" s="66" t="inlineStr">
        <is>
          <t>Discount Cloud TCO</t>
        </is>
      </c>
      <c r="B39" s="65" t="n">
        <v>0.85</v>
      </c>
      <c r="C39" s="69" t="inlineStr">
        <is>
          <t>Cloud cost = on-prem × this</t>
        </is>
      </c>
      <c r="D39" s="70" t="n"/>
      <c r="E39" s="70" t="n"/>
      <c r="F39" s="71" t="n"/>
    </row>
  </sheetData>
  <mergeCells count="9">
    <mergeCell ref="C39:F39"/>
    <mergeCell ref="A3:F3"/>
    <mergeCell ref="A1:F1"/>
    <mergeCell ref="C38:F38"/>
    <mergeCell ref="A12:F12"/>
    <mergeCell ref="A35:F35"/>
    <mergeCell ref="A26:F26"/>
    <mergeCell ref="C37:F37"/>
    <mergeCell ref="C36:F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8" customWidth="1" style="44" min="2" max="7"/>
  </cols>
  <sheetData>
    <row r="1" ht="30" customHeight="1" s="45">
      <c r="A1" s="56" t="inlineStr">
        <is>
          <t>🧮 Implementation Cost Breakdown by Tier</t>
        </is>
      </c>
    </row>
    <row r="3" ht="15" customHeight="1" s="45">
      <c r="A3" s="57" t="inlineStr">
        <is>
          <t>Tier</t>
        </is>
      </c>
      <c r="B3" s="57" t="inlineStr">
        <is>
          <t>Total Hours</t>
        </is>
      </c>
      <c r="C3" s="57" t="inlineStr">
        <is>
          <t>Blended Rate</t>
        </is>
      </c>
      <c r="D3" s="57" t="inlineStr">
        <is>
          <t>Implementation</t>
        </is>
      </c>
      <c r="E3" s="57" t="inlineStr">
        <is>
          <t>Hardware</t>
        </is>
      </c>
      <c r="F3" s="57" t="inlineStr">
        <is>
          <t>Hidden (Y1)</t>
        </is>
      </c>
      <c r="G3" s="57" t="inlineStr">
        <is>
          <t>TOTAL Year 1</t>
        </is>
      </c>
    </row>
    <row r="4" ht="15" customHeight="1" s="45">
      <c r="A4" s="72" t="inlineStr">
        <is>
          <t>G1</t>
        </is>
      </c>
      <c r="B4" s="73">
        <f>Inputs!B24</f>
        <v/>
      </c>
      <c r="C4" s="73">
        <f>Inputs!B28</f>
        <v/>
      </c>
      <c r="D4" s="60">
        <f>B4*C4</f>
        <v/>
      </c>
      <c r="E4" s="73">
        <f>Inputs!C5</f>
        <v/>
      </c>
      <c r="F4" s="73">
        <f>Inputs!D5</f>
        <v/>
      </c>
      <c r="G4" s="74">
        <f>D4+E4+F4</f>
        <v/>
      </c>
    </row>
    <row r="5" ht="15" customHeight="1" s="45">
      <c r="A5" s="75" t="inlineStr">
        <is>
          <t>G2</t>
        </is>
      </c>
      <c r="B5" s="73">
        <f>Inputs!C24</f>
        <v/>
      </c>
      <c r="C5" s="73">
        <f>Inputs!B29</f>
        <v/>
      </c>
      <c r="D5" s="60">
        <f>B5*C5</f>
        <v/>
      </c>
      <c r="E5" s="73">
        <f>Inputs!C6</f>
        <v/>
      </c>
      <c r="F5" s="73">
        <f>Inputs!D6</f>
        <v/>
      </c>
      <c r="G5" s="74">
        <f>D5+E5+F5</f>
        <v/>
      </c>
    </row>
    <row r="6" ht="15" customHeight="1" s="45">
      <c r="A6" s="76" t="inlineStr">
        <is>
          <t>G3</t>
        </is>
      </c>
      <c r="B6" s="73">
        <f>Inputs!D24</f>
        <v/>
      </c>
      <c r="C6" s="73">
        <f>Inputs!B30</f>
        <v/>
      </c>
      <c r="D6" s="60">
        <f>B6*C6</f>
        <v/>
      </c>
      <c r="E6" s="73">
        <f>Inputs!C7</f>
        <v/>
      </c>
      <c r="F6" s="73">
        <f>Inputs!D7</f>
        <v/>
      </c>
      <c r="G6" s="74">
        <f>D6+E6+F6</f>
        <v/>
      </c>
    </row>
    <row r="7" ht="15" customHeight="1" s="45">
      <c r="A7" s="77" t="inlineStr">
        <is>
          <t>G4</t>
        </is>
      </c>
      <c r="B7" s="73">
        <f>Inputs!E24</f>
        <v/>
      </c>
      <c r="C7" s="73">
        <f>Inputs!B31</f>
        <v/>
      </c>
      <c r="D7" s="60">
        <f>B7*C7</f>
        <v/>
      </c>
      <c r="E7" s="73">
        <f>Inputs!C8</f>
        <v/>
      </c>
      <c r="F7" s="73">
        <f>Inputs!D8</f>
        <v/>
      </c>
      <c r="G7" s="74">
        <f>D7+E7+F7</f>
        <v/>
      </c>
    </row>
    <row r="8" ht="15" customHeight="1" s="45">
      <c r="A8" s="78" t="inlineStr">
        <is>
          <t>G5</t>
        </is>
      </c>
      <c r="B8" s="73">
        <f>Inputs!F24</f>
        <v/>
      </c>
      <c r="C8" s="73">
        <f>Inputs!B32</f>
        <v/>
      </c>
      <c r="D8" s="60">
        <f>B8*C8</f>
        <v/>
      </c>
      <c r="E8" s="73">
        <f>Inputs!C9</f>
        <v/>
      </c>
      <c r="F8" s="73">
        <f>Inputs!D9</f>
        <v/>
      </c>
      <c r="G8" s="74">
        <f>D8+E8+F8</f>
        <v/>
      </c>
    </row>
    <row r="10" ht="11.9" customHeight="1" s="45">
      <c r="A10" s="55" t="inlineStr">
        <is>
          <t>📝 Note: TOTAL Year 1 ยังไม่รวม MA — ดู MA Plans sheet</t>
        </is>
      </c>
    </row>
    <row r="13" ht="15" customHeight="1" s="45">
      <c r="A13" s="62" t="inlineStr">
        <is>
          <t>💰 Cost Component % per Tier</t>
        </is>
      </c>
    </row>
    <row r="14" ht="26.85" customHeight="1" s="45">
      <c r="A14" s="57" t="inlineStr">
        <is>
          <t>Tier</t>
        </is>
      </c>
      <c r="B14" s="57" t="inlineStr">
        <is>
          <t>Hardware %</t>
        </is>
      </c>
      <c r="C14" s="57" t="inlineStr">
        <is>
          <t>Implementation %</t>
        </is>
      </c>
      <c r="D14" s="57" t="inlineStr">
        <is>
          <t>Hidden %</t>
        </is>
      </c>
    </row>
    <row r="15" ht="15" customHeight="1" s="45">
      <c r="A15" s="79" t="inlineStr">
        <is>
          <t>G1</t>
        </is>
      </c>
      <c r="B15" s="80">
        <f>E4/G4</f>
        <v/>
      </c>
      <c r="C15" s="80">
        <f>D4/G4</f>
        <v/>
      </c>
      <c r="D15" s="80">
        <f>F4/G4</f>
        <v/>
      </c>
    </row>
    <row r="16" ht="15" customHeight="1" s="45">
      <c r="A16" s="79" t="inlineStr">
        <is>
          <t>G2</t>
        </is>
      </c>
      <c r="B16" s="80">
        <f>E5/G5</f>
        <v/>
      </c>
      <c r="C16" s="80">
        <f>D5/G5</f>
        <v/>
      </c>
      <c r="D16" s="80">
        <f>F5/G5</f>
        <v/>
      </c>
    </row>
    <row r="17" ht="15" customHeight="1" s="45">
      <c r="A17" s="79" t="inlineStr">
        <is>
          <t>G3</t>
        </is>
      </c>
      <c r="B17" s="80">
        <f>E6/G6</f>
        <v/>
      </c>
      <c r="C17" s="80">
        <f>D6/G6</f>
        <v/>
      </c>
      <c r="D17" s="80">
        <f>F6/G6</f>
        <v/>
      </c>
    </row>
    <row r="18" ht="15" customHeight="1" s="45">
      <c r="A18" s="79" t="inlineStr">
        <is>
          <t>G4</t>
        </is>
      </c>
      <c r="B18" s="80">
        <f>E7/G7</f>
        <v/>
      </c>
      <c r="C18" s="80">
        <f>D7/G7</f>
        <v/>
      </c>
      <c r="D18" s="80">
        <f>F7/G7</f>
        <v/>
      </c>
    </row>
    <row r="19" ht="15" customHeight="1" s="45">
      <c r="A19" s="79" t="inlineStr">
        <is>
          <t>G5</t>
        </is>
      </c>
      <c r="B19" s="80">
        <f>E8/G8</f>
        <v/>
      </c>
      <c r="C19" s="80">
        <f>D8/G8</f>
        <v/>
      </c>
      <c r="D19" s="80">
        <f>F8/G8</f>
        <v/>
      </c>
    </row>
  </sheetData>
  <mergeCells count="3">
    <mergeCell ref="A13:G13"/>
    <mergeCell ref="A1:G1"/>
    <mergeCell ref="A10:G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44" min="1" max="1"/>
    <col width="22" customWidth="1" style="44" min="2" max="5"/>
  </cols>
  <sheetData>
    <row r="1" ht="30" customHeight="1" s="45">
      <c r="A1" s="56" t="inlineStr">
        <is>
          <t>🛠 Maintenance Agreement (MA) — Annual Cost</t>
        </is>
      </c>
    </row>
    <row r="3" ht="15" customHeight="1" s="45">
      <c r="A3" s="62" t="inlineStr">
        <is>
          <t>Reserved Manpower Hours/Year (input)</t>
        </is>
      </c>
    </row>
    <row r="4" ht="15" customHeight="1" s="45">
      <c r="A4" s="57" t="inlineStr">
        <is>
          <t>Tier</t>
        </is>
      </c>
      <c r="B4" s="57" t="inlineStr">
        <is>
          <t>Bronze</t>
        </is>
      </c>
      <c r="C4" s="57" t="inlineStr">
        <is>
          <t>Silver</t>
        </is>
      </c>
      <c r="D4" s="57" t="inlineStr">
        <is>
          <t>Gold</t>
        </is>
      </c>
    </row>
    <row r="5" ht="15" customHeight="1" s="45">
      <c r="A5" s="79" t="inlineStr">
        <is>
          <t>G1</t>
        </is>
      </c>
      <c r="B5" s="64" t="n">
        <v>80</v>
      </c>
      <c r="C5" s="64" t="n">
        <v>200</v>
      </c>
      <c r="D5" s="64" t="n">
        <v>480</v>
      </c>
    </row>
    <row r="6" ht="15" customHeight="1" s="45">
      <c r="A6" s="79" t="inlineStr">
        <is>
          <t>G2</t>
        </is>
      </c>
      <c r="B6" s="64" t="n">
        <v>160</v>
      </c>
      <c r="C6" s="64" t="n">
        <v>400</v>
      </c>
      <c r="D6" s="64" t="n">
        <v>960</v>
      </c>
    </row>
    <row r="7" ht="15" customHeight="1" s="45">
      <c r="A7" s="79" t="inlineStr">
        <is>
          <t>G3</t>
        </is>
      </c>
      <c r="B7" s="64" t="n">
        <v>320</v>
      </c>
      <c r="C7" s="64" t="n">
        <v>800</v>
      </c>
      <c r="D7" s="64" t="n">
        <v>2000</v>
      </c>
    </row>
    <row r="8" ht="15" customHeight="1" s="45">
      <c r="A8" s="79" t="inlineStr">
        <is>
          <t>G4</t>
        </is>
      </c>
      <c r="B8" s="64" t="n">
        <v>800</v>
      </c>
      <c r="C8" s="64" t="n">
        <v>2000</v>
      </c>
      <c r="D8" s="64" t="n">
        <v>4000</v>
      </c>
    </row>
    <row r="9" ht="15" customHeight="1" s="45">
      <c r="A9" s="79" t="inlineStr">
        <is>
          <t>G5</t>
        </is>
      </c>
      <c r="B9" s="64" t="n">
        <v>1600</v>
      </c>
      <c r="C9" s="64" t="n">
        <v>4000</v>
      </c>
      <c r="D9" s="64" t="n">
        <v>8000</v>
      </c>
    </row>
    <row r="12" ht="15" customHeight="1" s="45">
      <c r="A12" s="62" t="inlineStr">
        <is>
          <t>Annual MA Cost (THB)</t>
        </is>
      </c>
    </row>
    <row r="13" ht="15" customHeight="1" s="45">
      <c r="A13" s="57" t="inlineStr">
        <is>
          <t>Tier</t>
        </is>
      </c>
      <c r="B13" s="57" t="inlineStr">
        <is>
          <t>Bronze (12-15%)</t>
        </is>
      </c>
      <c r="C13" s="57" t="inlineStr">
        <is>
          <t>Silver (18-22%)</t>
        </is>
      </c>
      <c r="D13" s="57" t="inlineStr">
        <is>
          <t>Gold (25-30%)</t>
        </is>
      </c>
      <c r="E13" s="57" t="inlineStr">
        <is>
          <t>Implementation (ref)</t>
        </is>
      </c>
    </row>
    <row r="14" ht="15" customHeight="1" s="45">
      <c r="A14" s="72" t="inlineStr">
        <is>
          <t>G1</t>
        </is>
      </c>
      <c r="B14" s="60">
        <f>B5*Inputs!B28*1+30000</f>
        <v/>
      </c>
      <c r="C14" s="60">
        <f>C5*Inputs!B28*1.05+50000</f>
        <v/>
      </c>
      <c r="D14" s="60">
        <f>D5*Inputs!B28*1.1+150000</f>
        <v/>
      </c>
      <c r="E14" s="73">
        <f>'Tier Calc'!D4</f>
        <v/>
      </c>
    </row>
    <row r="15" ht="15" customHeight="1" s="45">
      <c r="A15" s="75" t="inlineStr">
        <is>
          <t>G2</t>
        </is>
      </c>
      <c r="B15" s="60">
        <f>B6*Inputs!B29*0.95+60000</f>
        <v/>
      </c>
      <c r="C15" s="60">
        <f>C6*Inputs!B29*1+100000</f>
        <v/>
      </c>
      <c r="D15" s="60">
        <f>D6*Inputs!B29*1.05+300000</f>
        <v/>
      </c>
      <c r="E15" s="73">
        <f>'Tier Calc'!D5</f>
        <v/>
      </c>
    </row>
    <row r="16" ht="15" customHeight="1" s="45">
      <c r="A16" s="76" t="inlineStr">
        <is>
          <t>G3</t>
        </is>
      </c>
      <c r="B16" s="60">
        <f>B7*Inputs!B30*0.9+120000</f>
        <v/>
      </c>
      <c r="C16" s="60">
        <f>C7*Inputs!B30*0.95+200000</f>
        <v/>
      </c>
      <c r="D16" s="60">
        <f>D7*Inputs!B30*1+600000</f>
        <v/>
      </c>
      <c r="E16" s="73">
        <f>'Tier Calc'!D6</f>
        <v/>
      </c>
    </row>
    <row r="17" ht="15" customHeight="1" s="45">
      <c r="A17" s="77" t="inlineStr">
        <is>
          <t>G4</t>
        </is>
      </c>
      <c r="B17" s="60">
        <f>B8*Inputs!B31*0.85+240000</f>
        <v/>
      </c>
      <c r="C17" s="60">
        <f>C8*Inputs!B31*0.9+400000</f>
        <v/>
      </c>
      <c r="D17" s="60">
        <f>D8*Inputs!B31*0.95+1200000</f>
        <v/>
      </c>
      <c r="E17" s="73">
        <f>'Tier Calc'!D7</f>
        <v/>
      </c>
    </row>
    <row r="18" ht="15" customHeight="1" s="45">
      <c r="A18" s="78" t="inlineStr">
        <is>
          <t>G5</t>
        </is>
      </c>
      <c r="B18" s="60">
        <f>B9*Inputs!B32*0.8+480000</f>
        <v/>
      </c>
      <c r="C18" s="60">
        <f>C9*Inputs!B32*0.85+800000</f>
        <v/>
      </c>
      <c r="D18" s="60">
        <f>D9*Inputs!B32*0.9+2400000</f>
        <v/>
      </c>
      <c r="E18" s="73">
        <f>'Tier Calc'!D8</f>
        <v/>
      </c>
    </row>
    <row r="21" ht="15" customHeight="1" s="45">
      <c r="A21" s="62" t="inlineStr">
        <is>
          <t>MA as % of Implementation Cost</t>
        </is>
      </c>
    </row>
    <row r="22" ht="15" customHeight="1" s="45">
      <c r="A22" s="57" t="inlineStr">
        <is>
          <t>Tier</t>
        </is>
      </c>
      <c r="B22" s="57" t="inlineStr">
        <is>
          <t>Bronze %</t>
        </is>
      </c>
      <c r="C22" s="57" t="inlineStr">
        <is>
          <t>Silver %</t>
        </is>
      </c>
      <c r="D22" s="57" t="inlineStr">
        <is>
          <t>Gold %</t>
        </is>
      </c>
    </row>
    <row r="23" ht="15" customHeight="1" s="45">
      <c r="A23" s="79" t="inlineStr">
        <is>
          <t>G1</t>
        </is>
      </c>
      <c r="B23" s="80">
        <f>B14/E14</f>
        <v/>
      </c>
      <c r="C23" s="80">
        <f>C14/E14</f>
        <v/>
      </c>
      <c r="D23" s="80">
        <f>D14/E14</f>
        <v/>
      </c>
    </row>
    <row r="24" ht="15" customHeight="1" s="45">
      <c r="A24" s="79" t="inlineStr">
        <is>
          <t>G2</t>
        </is>
      </c>
      <c r="B24" s="80">
        <f>B15/E15</f>
        <v/>
      </c>
      <c r="C24" s="80">
        <f>C15/E15</f>
        <v/>
      </c>
      <c r="D24" s="80">
        <f>D15/E15</f>
        <v/>
      </c>
    </row>
    <row r="25" ht="15" customHeight="1" s="45">
      <c r="A25" s="79" t="inlineStr">
        <is>
          <t>G3</t>
        </is>
      </c>
      <c r="B25" s="80">
        <f>B16/E16</f>
        <v/>
      </c>
      <c r="C25" s="80">
        <f>C16/E16</f>
        <v/>
      </c>
      <c r="D25" s="80">
        <f>D16/E16</f>
        <v/>
      </c>
    </row>
    <row r="26" ht="15" customHeight="1" s="45">
      <c r="A26" s="79" t="inlineStr">
        <is>
          <t>G4</t>
        </is>
      </c>
      <c r="B26" s="80">
        <f>B17/E17</f>
        <v/>
      </c>
      <c r="C26" s="80">
        <f>C17/E17</f>
        <v/>
      </c>
      <c r="D26" s="80">
        <f>D17/E17</f>
        <v/>
      </c>
    </row>
    <row r="27" ht="15" customHeight="1" s="45">
      <c r="A27" s="79" t="inlineStr">
        <is>
          <t>G5</t>
        </is>
      </c>
      <c r="B27" s="80">
        <f>B18/E18</f>
        <v/>
      </c>
      <c r="C27" s="80">
        <f>C18/E18</f>
        <v/>
      </c>
      <c r="D27" s="80">
        <f>D18/E18</f>
        <v/>
      </c>
    </row>
    <row r="30" ht="15" customHeight="1" s="45">
      <c r="A30" s="62" t="inlineStr">
        <is>
          <t>📋 MA Plan Comparison</t>
        </is>
      </c>
    </row>
    <row r="31" ht="15" customHeight="1" s="45">
      <c r="A31" s="57" t="inlineStr">
        <is>
          <t>Feature</t>
        </is>
      </c>
      <c r="B31" s="57" t="inlineStr">
        <is>
          <t>Bronze</t>
        </is>
      </c>
      <c r="C31" s="57" t="inlineStr">
        <is>
          <t>Silver</t>
        </is>
      </c>
      <c r="D31" s="57" t="inlineStr">
        <is>
          <t>Gold</t>
        </is>
      </c>
    </row>
    <row r="32" ht="26.85" customHeight="1" s="45">
      <c r="A32" s="58" t="inlineStr">
        <is>
          <t>Coverage</t>
        </is>
      </c>
      <c r="B32" s="81" t="inlineStr">
        <is>
          <t>8x5 Mon-Fri 9-17</t>
        </is>
      </c>
      <c r="C32" s="81" t="inlineStr">
        <is>
          <t>8x5 + Quarterly Review</t>
        </is>
      </c>
      <c r="D32" s="81" t="inlineStr">
        <is>
          <t>24x7 + SLA</t>
        </is>
      </c>
    </row>
    <row r="33" ht="15" customHeight="1" s="45">
      <c r="A33" s="58" t="inlineStr">
        <is>
          <t>P1 Response</t>
        </is>
      </c>
      <c r="B33" s="81" t="inlineStr">
        <is>
          <t>8 hours</t>
        </is>
      </c>
      <c r="C33" s="81" t="inlineStr">
        <is>
          <t>4 hours</t>
        </is>
      </c>
      <c r="D33" s="81" t="inlineStr">
        <is>
          <t>1 hour</t>
        </is>
      </c>
    </row>
    <row r="34" ht="15" customHeight="1" s="45">
      <c r="A34" s="58" t="inlineStr">
        <is>
          <t>P1 Resolution</t>
        </is>
      </c>
      <c r="B34" s="81" t="inlineStr">
        <is>
          <t>Best effort</t>
        </is>
      </c>
      <c r="C34" s="81" t="inlineStr">
        <is>
          <t>8 hours</t>
        </is>
      </c>
      <c r="D34" s="81" t="inlineStr">
        <is>
          <t>4 hours</t>
        </is>
      </c>
    </row>
    <row r="35" ht="15" customHeight="1" s="45">
      <c r="A35" s="58" t="inlineStr">
        <is>
          <t>Bug fix critical</t>
        </is>
      </c>
      <c r="B35" s="81" t="inlineStr">
        <is>
          <t>✓</t>
        </is>
      </c>
      <c r="C35" s="81" t="inlineStr">
        <is>
          <t>✓</t>
        </is>
      </c>
      <c r="D35" s="81" t="inlineStr">
        <is>
          <t>✓</t>
        </is>
      </c>
    </row>
    <row r="36" ht="15" customHeight="1" s="45">
      <c r="A36" s="58" t="inlineStr">
        <is>
          <t>Bug fix non-critical</t>
        </is>
      </c>
      <c r="B36" s="81" t="inlineStr">
        <is>
          <t>—</t>
        </is>
      </c>
      <c r="C36" s="81" t="inlineStr">
        <is>
          <t>✓</t>
        </is>
      </c>
      <c r="D36" s="81" t="inlineStr">
        <is>
          <t>✓</t>
        </is>
      </c>
    </row>
    <row r="37" ht="15" customHeight="1" s="45">
      <c r="A37" s="58" t="inlineStr">
        <is>
          <t>Security patches</t>
        </is>
      </c>
      <c r="B37" s="81" t="inlineStr">
        <is>
          <t>Monthly</t>
        </is>
      </c>
      <c r="C37" s="81" t="inlineStr">
        <is>
          <t>Monthly</t>
        </is>
      </c>
      <c r="D37" s="81" t="inlineStr">
        <is>
          <t>Bi-weekly</t>
        </is>
      </c>
    </row>
    <row r="38" ht="15" customHeight="1" s="45">
      <c r="A38" s="58" t="inlineStr">
        <is>
          <t>Feature requests</t>
        </is>
      </c>
      <c r="B38" s="81" t="inlineStr">
        <is>
          <t>—</t>
        </is>
      </c>
      <c r="C38" s="81" t="inlineStr">
        <is>
          <t>≤8 hr/month</t>
        </is>
      </c>
      <c r="D38" s="81" t="inlineStr">
        <is>
          <t>≤40 hr/month</t>
        </is>
      </c>
    </row>
    <row r="39" ht="15" customHeight="1" s="45">
      <c r="A39" s="58" t="inlineStr">
        <is>
          <t>On-site visits</t>
        </is>
      </c>
      <c r="B39" s="81" t="inlineStr">
        <is>
          <t>—</t>
        </is>
      </c>
      <c r="C39" s="81" t="inlineStr">
        <is>
          <t>4×/year</t>
        </is>
      </c>
      <c r="D39" s="81" t="inlineStr">
        <is>
          <t>Monthly</t>
        </is>
      </c>
    </row>
    <row r="40" ht="15" customHeight="1" s="45">
      <c r="A40" s="58" t="inlineStr">
        <is>
          <t>Quarterly review</t>
        </is>
      </c>
      <c r="B40" s="81" t="inlineStr">
        <is>
          <t>—</t>
        </is>
      </c>
      <c r="C40" s="81" t="inlineStr">
        <is>
          <t>✓</t>
        </is>
      </c>
      <c r="D40" s="81" t="inlineStr">
        <is>
          <t>✓</t>
        </is>
      </c>
    </row>
    <row r="41" ht="15" customHeight="1" s="45">
      <c r="A41" s="58" t="inlineStr">
        <is>
          <t>DR drill</t>
        </is>
      </c>
      <c r="B41" s="81" t="inlineStr">
        <is>
          <t>—</t>
        </is>
      </c>
      <c r="C41" s="81" t="inlineStr">
        <is>
          <t>—</t>
        </is>
      </c>
      <c r="D41" s="81" t="inlineStr">
        <is>
          <t>2×/year</t>
        </is>
      </c>
    </row>
    <row r="42" ht="15" customHeight="1" s="45">
      <c r="A42" s="58" t="inlineStr">
        <is>
          <t>Uptime SLA</t>
        </is>
      </c>
      <c r="B42" s="81" t="inlineStr">
        <is>
          <t>Best effort</t>
        </is>
      </c>
      <c r="C42" s="81" t="inlineStr">
        <is>
          <t>99% (business hours)</t>
        </is>
      </c>
      <c r="D42" s="81" t="inlineStr">
        <is>
          <t>99.9%</t>
        </is>
      </c>
    </row>
  </sheetData>
  <mergeCells count="5">
    <mergeCell ref="A21:E21"/>
    <mergeCell ref="A30:E30"/>
    <mergeCell ref="A12:E12"/>
    <mergeCell ref="A1:E1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8" customWidth="1" style="44" min="2" max="8"/>
  </cols>
  <sheetData>
    <row r="1" ht="30" customHeight="1" s="45">
      <c r="A1" s="56" t="inlineStr">
        <is>
          <t>📊 TCO Summary — 5-Year Projection</t>
        </is>
      </c>
    </row>
    <row r="3" ht="15" customHeight="1" s="45">
      <c r="A3" s="49" t="inlineStr">
        <is>
          <t>📌 Selected MA Plan:</t>
        </is>
      </c>
      <c r="B3" s="82" t="inlineStr">
        <is>
          <t>Silver</t>
        </is>
      </c>
      <c r="C3" s="55" t="inlineStr">
        <is>
          <t>(เลือกได้: Bronze / Silver / Gold)</t>
        </is>
      </c>
    </row>
    <row r="5" ht="26.85" customHeight="1" s="45">
      <c r="A5" s="57" t="inlineStr">
        <is>
          <t>Tier</t>
        </is>
      </c>
      <c r="B5" s="57" t="inlineStr">
        <is>
          <t>Cameras</t>
        </is>
      </c>
      <c r="C5" s="57" t="inlineStr">
        <is>
          <t>Year 1 Total</t>
        </is>
      </c>
      <c r="D5" s="57" t="inlineStr">
        <is>
          <t>Year 2-5 (each)</t>
        </is>
      </c>
      <c r="E5" s="57" t="inlineStr">
        <is>
          <t>5-Year TCO</t>
        </is>
      </c>
      <c r="F5" s="57" t="inlineStr">
        <is>
          <t>Per Camera/Year</t>
        </is>
      </c>
      <c r="G5" s="57" t="inlineStr">
        <is>
          <t>Suggested Sale Price</t>
        </is>
      </c>
      <c r="H5" s="57" t="inlineStr">
        <is>
          <t>Gross Margin</t>
        </is>
      </c>
    </row>
    <row r="6" ht="15" customHeight="1" s="45">
      <c r="A6" s="72" t="inlineStr">
        <is>
          <t>G1</t>
        </is>
      </c>
      <c r="B6" s="83">
        <f>Inputs!B5</f>
        <v/>
      </c>
      <c r="C6" s="60">
        <f>'Tier Calc'!G4+IF($B$3="Bronze",'MA Plans'!B14,IF($B$3="Silver",'MA Plans'!C14,'MA Plans'!D14))</f>
        <v/>
      </c>
      <c r="D6" s="60">
        <f>(IF($B$3="Bronze",'MA Plans'!B14,IF($B$3="Silver",'MA Plans'!C14,'MA Plans'!D14))+Inputs!D5+Inputs!C5*Inputs!E5)*(1+Inputs!B37)</f>
        <v/>
      </c>
      <c r="E6" s="74">
        <f>C6+4*D6</f>
        <v/>
      </c>
      <c r="F6" s="60">
        <f>E6/B6/5</f>
        <v/>
      </c>
      <c r="G6" s="84">
        <f>E6/(1-Inputs!B36)</f>
        <v/>
      </c>
      <c r="H6" s="80">
        <f>(G6-E6)/G6</f>
        <v/>
      </c>
    </row>
    <row r="7" ht="15" customHeight="1" s="45">
      <c r="A7" s="75" t="inlineStr">
        <is>
          <t>G2</t>
        </is>
      </c>
      <c r="B7" s="83">
        <f>Inputs!B6</f>
        <v/>
      </c>
      <c r="C7" s="60">
        <f>'Tier Calc'!G5+IF($B$3="Bronze",'MA Plans'!B15,IF($B$3="Silver",'MA Plans'!C15,'MA Plans'!D15))</f>
        <v/>
      </c>
      <c r="D7" s="60">
        <f>(IF($B$3="Bronze",'MA Plans'!B15,IF($B$3="Silver",'MA Plans'!C15,'MA Plans'!D15))+Inputs!D6+Inputs!C6*Inputs!E6)*(1+Inputs!B37)</f>
        <v/>
      </c>
      <c r="E7" s="74">
        <f>C7+4*D7</f>
        <v/>
      </c>
      <c r="F7" s="60">
        <f>E7/B7/5</f>
        <v/>
      </c>
      <c r="G7" s="84">
        <f>E7/(1-Inputs!B36)</f>
        <v/>
      </c>
      <c r="H7" s="80">
        <f>(G7-E7)/G7</f>
        <v/>
      </c>
    </row>
    <row r="8" ht="15" customHeight="1" s="45">
      <c r="A8" s="76" t="inlineStr">
        <is>
          <t>G3</t>
        </is>
      </c>
      <c r="B8" s="83">
        <f>Inputs!B7</f>
        <v/>
      </c>
      <c r="C8" s="60">
        <f>'Tier Calc'!G6+IF($B$3="Bronze",'MA Plans'!B16,IF($B$3="Silver",'MA Plans'!C16,'MA Plans'!D16))</f>
        <v/>
      </c>
      <c r="D8" s="60">
        <f>(IF($B$3="Bronze",'MA Plans'!B16,IF($B$3="Silver",'MA Plans'!C16,'MA Plans'!D16))+Inputs!D7+Inputs!C7*Inputs!E7)*(1+Inputs!B37)</f>
        <v/>
      </c>
      <c r="E8" s="74">
        <f>C8+4*D8</f>
        <v/>
      </c>
      <c r="F8" s="60">
        <f>E8/B8/5</f>
        <v/>
      </c>
      <c r="G8" s="84">
        <f>E8/(1-Inputs!B36)</f>
        <v/>
      </c>
      <c r="H8" s="80">
        <f>(G8-E8)/G8</f>
        <v/>
      </c>
    </row>
    <row r="9" ht="15" customHeight="1" s="45">
      <c r="A9" s="77" t="inlineStr">
        <is>
          <t>G4</t>
        </is>
      </c>
      <c r="B9" s="83">
        <f>Inputs!B8</f>
        <v/>
      </c>
      <c r="C9" s="60">
        <f>'Tier Calc'!G7+IF($B$3="Bronze",'MA Plans'!B17,IF($B$3="Silver",'MA Plans'!C17,'MA Plans'!D17))</f>
        <v/>
      </c>
      <c r="D9" s="60">
        <f>(IF($B$3="Bronze",'MA Plans'!B17,IF($B$3="Silver",'MA Plans'!C17,'MA Plans'!D17))+Inputs!D8+Inputs!C8*Inputs!E8)*(1+Inputs!B37)</f>
        <v/>
      </c>
      <c r="E9" s="74">
        <f>C9+4*D9</f>
        <v/>
      </c>
      <c r="F9" s="60">
        <f>E9/B9/5</f>
        <v/>
      </c>
      <c r="G9" s="84">
        <f>E9/(1-Inputs!B36)</f>
        <v/>
      </c>
      <c r="H9" s="80">
        <f>(G9-E9)/G9</f>
        <v/>
      </c>
    </row>
    <row r="10" ht="15" customHeight="1" s="45">
      <c r="A10" s="78" t="inlineStr">
        <is>
          <t>G5</t>
        </is>
      </c>
      <c r="B10" s="83">
        <f>Inputs!B9</f>
        <v/>
      </c>
      <c r="C10" s="60">
        <f>'Tier Calc'!G8+IF($B$3="Bronze",'MA Plans'!B18,IF($B$3="Silver",'MA Plans'!C18,'MA Plans'!D18))</f>
        <v/>
      </c>
      <c r="D10" s="60">
        <f>(IF($B$3="Bronze",'MA Plans'!B18,IF($B$3="Silver",'MA Plans'!C18,'MA Plans'!D18))+Inputs!D9+Inputs!C9*Inputs!E9)*(1+Inputs!B37)</f>
        <v/>
      </c>
      <c r="E10" s="74">
        <f>C10+4*D10</f>
        <v/>
      </c>
      <c r="F10" s="60">
        <f>E10/B10/5</f>
        <v/>
      </c>
      <c r="G10" s="84">
        <f>E10/(1-Inputs!B36)</f>
        <v/>
      </c>
      <c r="H10" s="80">
        <f>(G10-E10)/G10</f>
        <v/>
      </c>
    </row>
    <row r="13" ht="15" customHeight="1" s="45">
      <c r="A13" s="62" t="inlineStr">
        <is>
          <t>📅 Year-by-Year Cost (with inflation)</t>
        </is>
      </c>
    </row>
    <row r="14" ht="15" customHeight="1" s="45">
      <c r="A14" s="57" t="inlineStr">
        <is>
          <t>Tier</t>
        </is>
      </c>
      <c r="B14" s="57" t="inlineStr">
        <is>
          <t>Year 1</t>
        </is>
      </c>
      <c r="C14" s="57" t="inlineStr">
        <is>
          <t>Year 2</t>
        </is>
      </c>
      <c r="D14" s="57" t="inlineStr">
        <is>
          <t>Year 3</t>
        </is>
      </c>
      <c r="E14" s="57" t="inlineStr">
        <is>
          <t>Year 4</t>
        </is>
      </c>
      <c r="F14" s="57" t="inlineStr">
        <is>
          <t>Year 5</t>
        </is>
      </c>
      <c r="G14" s="57" t="inlineStr">
        <is>
          <t>5-Year Total</t>
        </is>
      </c>
      <c r="H14" s="57" t="inlineStr">
        <is>
          <t>Avg/Year</t>
        </is>
      </c>
    </row>
    <row r="15" ht="15" customHeight="1" s="45">
      <c r="A15" s="72" t="inlineStr">
        <is>
          <t>G1</t>
        </is>
      </c>
      <c r="B15" s="60">
        <f>C6</f>
        <v/>
      </c>
      <c r="C15" s="60">
        <f>D6</f>
        <v/>
      </c>
      <c r="D15" s="60">
        <f>C15*(1+Inputs!B37)</f>
        <v/>
      </c>
      <c r="E15" s="60">
        <f>D15*(1+Inputs!B37)</f>
        <v/>
      </c>
      <c r="F15" s="60">
        <f>E15*(1+Inputs!B37)</f>
        <v/>
      </c>
      <c r="G15" s="74">
        <f>SUM(B15:F15)</f>
        <v/>
      </c>
      <c r="H15" s="60">
        <f>G15/5</f>
        <v/>
      </c>
    </row>
    <row r="16" ht="15" customHeight="1" s="45">
      <c r="A16" s="75" t="inlineStr">
        <is>
          <t>G2</t>
        </is>
      </c>
      <c r="B16" s="60">
        <f>C7</f>
        <v/>
      </c>
      <c r="C16" s="60">
        <f>D7</f>
        <v/>
      </c>
      <c r="D16" s="60">
        <f>C16*(1+Inputs!B37)</f>
        <v/>
      </c>
      <c r="E16" s="60">
        <f>D16*(1+Inputs!B37)</f>
        <v/>
      </c>
      <c r="F16" s="60">
        <f>E16*(1+Inputs!B37)</f>
        <v/>
      </c>
      <c r="G16" s="74">
        <f>SUM(B16:F16)</f>
        <v/>
      </c>
      <c r="H16" s="60">
        <f>G16/5</f>
        <v/>
      </c>
    </row>
    <row r="17" ht="15" customHeight="1" s="45">
      <c r="A17" s="76" t="inlineStr">
        <is>
          <t>G3</t>
        </is>
      </c>
      <c r="B17" s="60">
        <f>C8</f>
        <v/>
      </c>
      <c r="C17" s="60">
        <f>D8</f>
        <v/>
      </c>
      <c r="D17" s="60">
        <f>C17*(1+Inputs!B37)</f>
        <v/>
      </c>
      <c r="E17" s="60">
        <f>D17*(1+Inputs!B37)</f>
        <v/>
      </c>
      <c r="F17" s="60">
        <f>E17*(1+Inputs!B37)</f>
        <v/>
      </c>
      <c r="G17" s="74">
        <f>SUM(B17:F17)</f>
        <v/>
      </c>
      <c r="H17" s="60">
        <f>G17/5</f>
        <v/>
      </c>
    </row>
    <row r="18" ht="15" customHeight="1" s="45">
      <c r="A18" s="77" t="inlineStr">
        <is>
          <t>G4</t>
        </is>
      </c>
      <c r="B18" s="60">
        <f>C9</f>
        <v/>
      </c>
      <c r="C18" s="60">
        <f>D9</f>
        <v/>
      </c>
      <c r="D18" s="60">
        <f>C18*(1+Inputs!B37)</f>
        <v/>
      </c>
      <c r="E18" s="60">
        <f>D18*(1+Inputs!B37)</f>
        <v/>
      </c>
      <c r="F18" s="60">
        <f>E18*(1+Inputs!B37)</f>
        <v/>
      </c>
      <c r="G18" s="74">
        <f>SUM(B18:F18)</f>
        <v/>
      </c>
      <c r="H18" s="60">
        <f>G18/5</f>
        <v/>
      </c>
    </row>
    <row r="19" ht="15" customHeight="1" s="45">
      <c r="A19" s="78" t="inlineStr">
        <is>
          <t>G5</t>
        </is>
      </c>
      <c r="B19" s="60">
        <f>C10</f>
        <v/>
      </c>
      <c r="C19" s="60">
        <f>D10</f>
        <v/>
      </c>
      <c r="D19" s="60">
        <f>C19*(1+Inputs!B37)</f>
        <v/>
      </c>
      <c r="E19" s="60">
        <f>D19*(1+Inputs!B37)</f>
        <v/>
      </c>
      <c r="F19" s="60">
        <f>E19*(1+Inputs!B37)</f>
        <v/>
      </c>
      <c r="G19" s="74">
        <f>SUM(B19:F19)</f>
        <v/>
      </c>
      <c r="H19" s="60">
        <f>G19/5</f>
        <v/>
      </c>
    </row>
  </sheetData>
  <mergeCells count="3">
    <mergeCell ref="A1:H1"/>
    <mergeCell ref="A13:H13"/>
    <mergeCell ref="C3:H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22" customWidth="1" style="44" min="2" max="2"/>
    <col width="35" customWidth="1" style="44" min="3" max="3"/>
  </cols>
  <sheetData>
    <row r="1" ht="30" customHeight="1" s="45">
      <c r="A1" s="56" t="inlineStr">
        <is>
          <t>💵 ROI Calculator — Customer Justification</t>
        </is>
      </c>
    </row>
    <row r="3" ht="15" customHeight="1" s="45">
      <c r="A3" s="49" t="inlineStr">
        <is>
          <t>Selected Tier:</t>
        </is>
      </c>
      <c r="B3" s="82" t="inlineStr">
        <is>
          <t>G3</t>
        </is>
      </c>
      <c r="C3" s="55" t="inlineStr">
        <is>
          <t>(G1, G2, G3, G4, G5)</t>
        </is>
      </c>
    </row>
    <row r="4" ht="15" customHeight="1" s="45">
      <c r="A4" s="49" t="inlineStr">
        <is>
          <t>Annual TCO (5y avg):</t>
        </is>
      </c>
      <c r="B4" s="85">
        <f>VLOOKUP(B3,Summary!A6:H10,5,FALSE)/5</f>
        <v/>
      </c>
    </row>
    <row r="6" ht="14.15" customHeight="1" s="45">
      <c r="A6" s="62" t="inlineStr">
        <is>
          <t>Annual Benefits (กรอกตัวเลขลูกค้า)</t>
        </is>
      </c>
    </row>
    <row r="7" ht="15" customHeight="1" s="45">
      <c r="A7" s="57" t="inlineStr">
        <is>
          <t>Item</t>
        </is>
      </c>
      <c r="B7" s="57" t="inlineStr">
        <is>
          <t>Annual Value (THB)</t>
        </is>
      </c>
      <c r="C7" s="57" t="inlineStr">
        <is>
          <t>Note</t>
        </is>
      </c>
    </row>
    <row r="8" ht="15" customHeight="1" s="45">
      <c r="A8" s="66" t="inlineStr">
        <is>
          <t>ป้องกัน theft / vandalism</t>
        </is>
      </c>
      <c r="B8" s="59" t="n">
        <v>1000000</v>
      </c>
      <c r="C8" s="69" t="inlineStr">
        <is>
          <t>2 incidents/ปี × 500K (ตัวอย่าง)</t>
        </is>
      </c>
    </row>
    <row r="9" ht="15" customHeight="1" s="45">
      <c r="A9" s="66" t="inlineStr">
        <is>
          <t>ลดจำนวน security guard</t>
        </is>
      </c>
      <c r="B9" s="59" t="n">
        <v>900000</v>
      </c>
      <c r="C9" s="69" t="inlineStr">
        <is>
          <t>ลด 3 คน × 25K/เดือน × 12</t>
        </is>
      </c>
    </row>
    <row r="10" ht="15" customHeight="1" s="45">
      <c r="A10" s="66" t="inlineStr">
        <is>
          <t>Insurance premium ลด 15%</t>
        </is>
      </c>
      <c r="B10" s="59" t="n">
        <v>300000</v>
      </c>
      <c r="C10" s="69" t="inlineStr">
        <is>
          <t>อัตราที่ insurance ให้</t>
        </is>
      </c>
    </row>
    <row r="11" ht="15" customHeight="1" s="45">
      <c r="A11" s="66" t="inlineStr">
        <is>
          <t>Productivity gain</t>
        </is>
      </c>
      <c r="B11" s="59" t="n">
        <v>600000</v>
      </c>
      <c r="C11" s="69" t="inlineStr">
        <is>
          <t>Faster incident response</t>
        </is>
      </c>
    </row>
    <row r="12" ht="15" customHeight="1" s="45">
      <c r="A12" s="66" t="inlineStr">
        <is>
          <t>ลด liability claims</t>
        </is>
      </c>
      <c r="B12" s="59" t="n">
        <v>200000</v>
      </c>
      <c r="C12" s="69" t="inlineStr">
        <is>
          <t>บันทึกหลักฐาน video</t>
        </is>
      </c>
    </row>
    <row r="13" ht="15" customHeight="1" s="45">
      <c r="A13" s="66" t="inlineStr">
        <is>
          <t>เพิ่มประสิทธิภาพ operation</t>
        </is>
      </c>
      <c r="B13" s="59" t="n">
        <v>400000</v>
      </c>
      <c r="C13" s="69" t="inlineStr">
        <is>
          <t>Real-time monitoring</t>
        </is>
      </c>
    </row>
    <row r="14" ht="15" customHeight="1" s="45">
      <c r="A14" s="67" t="inlineStr">
        <is>
          <t>TOTAL ANNUAL BENEFIT</t>
        </is>
      </c>
      <c r="B14" s="86">
        <f>SUM(B8:B13)</f>
        <v/>
      </c>
    </row>
    <row r="16" ht="15" customHeight="1" s="45">
      <c r="A16" s="62" t="inlineStr">
        <is>
          <t>📈 ROI Metrics</t>
        </is>
      </c>
    </row>
    <row r="17" ht="15" customHeight="1" s="45">
      <c r="A17" s="66" t="inlineStr">
        <is>
          <t>Net Annual Benefit</t>
        </is>
      </c>
      <c r="B17" s="60">
        <f>B14-B4</f>
        <v/>
      </c>
    </row>
    <row r="18" ht="15" customHeight="1" s="45">
      <c r="A18" s="66" t="inlineStr">
        <is>
          <t>Annual ROI %</t>
        </is>
      </c>
      <c r="B18" s="80">
        <f>IFERROR((B14-B4)/B4,0)</f>
        <v/>
      </c>
    </row>
    <row r="19" ht="15" customHeight="1" s="45">
      <c r="A19" s="66" t="inlineStr">
        <is>
          <t>Payback Period (years)</t>
        </is>
      </c>
      <c r="B19" s="87">
        <f>IFERROR(VLOOKUP(B3,Summary!A6:H10,5,FALSE)/(B14-B4),99)</f>
        <v/>
      </c>
    </row>
    <row r="20" ht="15" customHeight="1" s="45">
      <c r="A20" s="88" t="inlineStr">
        <is>
          <t>5-Year Net Value</t>
        </is>
      </c>
      <c r="B20" s="89">
        <f>B14*5-VLOOKUP(B3,Summary!A6:H10,5,FALSE)</f>
        <v/>
      </c>
    </row>
  </sheetData>
  <mergeCells count="3">
    <mergeCell ref="A16:E16"/>
    <mergeCell ref="A6:E6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2026-05-01T12:03:34Z</dcterms:created>
  <dcterms:modified xmlns:dcterms="http://purl.org/dc/terms/" xmlns:xsi="http://www.w3.org/2001/XMLSchema-instance" xsi:type="dcterms:W3CDTF">2026-05-01T12:04:09Z</dcterms:modified>
  <cp:revision>0</cp:revision>
</cp:coreProperties>
</file>